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facturacion\procedimiento almacenados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1" l="1"/>
  <c r="I20" i="1"/>
  <c r="M9" i="1"/>
  <c r="I19" i="1"/>
  <c r="D9" i="1"/>
  <c r="I18" i="1" s="1"/>
  <c r="O8" i="1"/>
  <c r="M8" i="1"/>
  <c r="D8" i="1"/>
  <c r="O7" i="1"/>
  <c r="D7" i="1"/>
</calcChain>
</file>

<file path=xl/sharedStrings.xml><?xml version="1.0" encoding="utf-8"?>
<sst xmlns="http://schemas.openxmlformats.org/spreadsheetml/2006/main" count="18" uniqueCount="8">
  <si>
    <t>codigo</t>
  </si>
  <si>
    <t>cantidad</t>
  </si>
  <si>
    <t>precio</t>
  </si>
  <si>
    <t>total</t>
  </si>
  <si>
    <t>existencia</t>
  </si>
  <si>
    <t>salidas</t>
  </si>
  <si>
    <t>entradas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</si>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</sst>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0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20"/>
  <sheetViews>
    <sheetView tabSelected="1" workbookViewId="0">
      <selection activeCell="T9" sqref="S9:T9"/>
    </sheetView>
  </sheetViews>
  <sheetFormatPr baseColWidth="10" defaultRowHeight="15" x14ac:dyDescent="0.25"/>
  <sheetData>
    <row r="5" spans="1:15" x14ac:dyDescent="0.25">
      <c r="B5" s="1" t="s">
        <v>6</v>
      </c>
      <c r="G5" s="1" t="s">
        <v>5</v>
      </c>
      <c r="M5" s="1" t="s">
        <v>7</v>
      </c>
    </row>
    <row r="6" spans="1:15" x14ac:dyDescent="0.25">
      <c r="A6" s="2" t="s">
        <v>0</v>
      </c>
      <c r="B6" s="2" t="s">
        <v>1</v>
      </c>
      <c r="C6" s="2" t="s">
        <v>2</v>
      </c>
      <c r="D6" s="2" t="s">
        <v>3</v>
      </c>
      <c r="F6" s="2" t="s">
        <v>0</v>
      </c>
      <c r="G6" s="2" t="s">
        <v>1</v>
      </c>
      <c r="H6" s="2" t="s">
        <v>2</v>
      </c>
      <c r="I6" s="2" t="s">
        <v>3</v>
      </c>
      <c r="L6" s="2" t="s">
        <v>0</v>
      </c>
      <c r="M6" s="2" t="s">
        <v>1</v>
      </c>
      <c r="N6" s="2" t="s">
        <v>2</v>
      </c>
      <c r="O6" s="2" t="s">
        <v>3</v>
      </c>
    </row>
    <row r="7" spans="1:15" x14ac:dyDescent="0.25">
      <c r="A7" s="3">
        <v>1</v>
      </c>
      <c r="B7" s="3">
        <v>150</v>
      </c>
      <c r="C7" s="3">
        <v>110</v>
      </c>
      <c r="D7" s="3">
        <f>B7*C7</f>
        <v>16500</v>
      </c>
      <c r="F7" s="3">
        <v>1</v>
      </c>
      <c r="G7" s="3"/>
      <c r="H7" s="3"/>
      <c r="I7" s="3"/>
      <c r="L7" s="3">
        <v>1</v>
      </c>
      <c r="M7" s="3">
        <v>150</v>
      </c>
      <c r="N7" s="3">
        <v>110</v>
      </c>
      <c r="O7" s="3">
        <f>M7*N7</f>
        <v>16500</v>
      </c>
    </row>
    <row r="8" spans="1:15" x14ac:dyDescent="0.25">
      <c r="A8" s="3">
        <v>1</v>
      </c>
      <c r="B8" s="3">
        <v>100</v>
      </c>
      <c r="C8" s="3">
        <v>150</v>
      </c>
      <c r="D8" s="3">
        <f>B8*C8</f>
        <v>15000</v>
      </c>
      <c r="F8" s="3"/>
      <c r="G8" s="3"/>
      <c r="H8" s="3"/>
      <c r="I8" s="3"/>
      <c r="L8" s="3">
        <v>1</v>
      </c>
      <c r="M8" s="3">
        <f>B7+B8</f>
        <v>250</v>
      </c>
      <c r="N8" s="3">
        <v>126</v>
      </c>
      <c r="O8" s="3">
        <f>M8*N8</f>
        <v>31500</v>
      </c>
    </row>
    <row r="9" spans="1:15" x14ac:dyDescent="0.25">
      <c r="A9" s="3">
        <v>1</v>
      </c>
      <c r="B9" s="3">
        <v>10</v>
      </c>
      <c r="C9" s="3">
        <v>4</v>
      </c>
      <c r="D9" s="3">
        <f>PRODUCT(B9:C9)</f>
        <v>40</v>
      </c>
      <c r="F9" s="3"/>
      <c r="G9" s="3"/>
      <c r="H9" s="3"/>
      <c r="I9" s="3"/>
      <c r="L9" s="3">
        <v>1</v>
      </c>
      <c r="M9" s="3">
        <f>M8+B9</f>
        <v>260</v>
      </c>
      <c r="N9" s="3">
        <v>121.31</v>
      </c>
      <c r="O9" s="3">
        <f>PRODUCT(M9:N9)</f>
        <v>31540.600000000002</v>
      </c>
    </row>
    <row r="10" spans="1:15" x14ac:dyDescent="0.25">
      <c r="A10" s="3"/>
      <c r="B10" s="3"/>
      <c r="C10" s="3"/>
      <c r="D10" s="3"/>
      <c r="F10" s="3"/>
      <c r="G10" s="3"/>
      <c r="H10" s="3"/>
      <c r="I10" s="3"/>
      <c r="L10" s="3"/>
      <c r="M10" s="3"/>
      <c r="N10" s="3"/>
      <c r="O10" s="3"/>
    </row>
    <row r="11" spans="1:15" x14ac:dyDescent="0.25">
      <c r="A11" s="3"/>
      <c r="B11" s="3"/>
      <c r="C11" s="3"/>
      <c r="D11" s="3"/>
      <c r="F11" s="3"/>
      <c r="G11" s="3"/>
      <c r="H11" s="3"/>
      <c r="I11" s="3"/>
      <c r="L11" s="3"/>
      <c r="M11" s="3"/>
      <c r="N11" s="3"/>
      <c r="O11" s="3"/>
    </row>
    <row r="12" spans="1:15" ht="15.75" thickBot="1" x14ac:dyDescent="0.3">
      <c r="A12" s="3"/>
      <c r="B12" s="3"/>
      <c r="C12" s="3"/>
      <c r="D12" s="3"/>
      <c r="F12" s="3"/>
      <c r="G12" s="3"/>
      <c r="H12" s="8"/>
      <c r="I12" s="3"/>
      <c r="L12" s="3"/>
      <c r="M12" s="3"/>
      <c r="N12" s="3"/>
      <c r="O12" s="3"/>
    </row>
    <row r="13" spans="1:15" ht="15.75" thickBot="1" x14ac:dyDescent="0.3">
      <c r="A13" s="3"/>
      <c r="B13" s="3"/>
      <c r="C13" s="3"/>
      <c r="D13" s="3"/>
      <c r="F13" s="3"/>
      <c r="G13" s="6"/>
      <c r="H13" s="9"/>
      <c r="I13" s="7"/>
      <c r="L13" s="3"/>
      <c r="M13" s="3"/>
      <c r="N13" s="3"/>
      <c r="O13" s="3"/>
    </row>
    <row r="14" spans="1:15" x14ac:dyDescent="0.25">
      <c r="H14" s="5"/>
    </row>
    <row r="18" spans="8:9" x14ac:dyDescent="0.25">
      <c r="H18" s="4" t="s">
        <v>3</v>
      </c>
      <c r="I18" s="3">
        <f>SUM(D7:D11)</f>
        <v>31540</v>
      </c>
    </row>
    <row r="19" spans="8:9" x14ac:dyDescent="0.25">
      <c r="H19" s="4" t="s">
        <v>4</v>
      </c>
      <c r="I19" s="3">
        <f>SUM(B7:B10)</f>
        <v>260</v>
      </c>
    </row>
    <row r="20" spans="8:9" x14ac:dyDescent="0.25">
      <c r="H20" s="4" t="s">
        <v>2</v>
      </c>
      <c r="I20" s="3">
        <f>I18/I19</f>
        <v>121.30769230769231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2025-04-15T17:16:07Z</dcterms:created>
  <dcterms:modified xsi:type="dcterms:W3CDTF">2025-04-15T17:41:43Z</dcterms:modified>
</cp:coreProperties>
</file>